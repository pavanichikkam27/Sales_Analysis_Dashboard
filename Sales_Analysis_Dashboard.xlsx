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cb963366872dba7f/"/>
    </mc:Choice>
  </mc:AlternateContent>
  <xr:revisionPtr revIDLastSave="0" documentId="8_{680542E3-F7F1-458E-A9C9-4ED1960CB5A6}" xr6:coauthVersionLast="47" xr6:coauthVersionMax="47" xr10:uidLastSave="{00000000-0000-0000-0000-000000000000}"/>
  <bookViews>
    <workbookView xWindow="-108" yWindow="-108" windowWidth="23256" windowHeight="12456" firstSheet="1" activeTab="4" xr2:uid="{501A865E-DE73-4ACC-A152-D8302D76BA73}"/>
  </bookViews>
  <sheets>
    <sheet name="pivottable1" sheetId="2" r:id="rId1"/>
    <sheet name="Sheet3" sheetId="3" r:id="rId2"/>
    <sheet name="pivottable2" sheetId="4" r:id="rId3"/>
    <sheet name="pivottable3" sheetId="5" r:id="rId4"/>
    <sheet name="Sales Dashboard" sheetId="7" r:id="rId5"/>
    <sheet name="Sheet1" sheetId="1" r:id="rId6"/>
  </sheets>
  <definedNames>
    <definedName name="NativeTimeline_Date">#N/A</definedName>
    <definedName name="Slicer_Months__Date">#N/A</definedName>
    <definedName name="Slicer_Product">#N/A</definedName>
    <definedName name="Slicer_Region">#N/A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4" i="1"/>
  <c r="J3" i="1"/>
</calcChain>
</file>

<file path=xl/sharedStrings.xml><?xml version="1.0" encoding="utf-8"?>
<sst xmlns="http://schemas.openxmlformats.org/spreadsheetml/2006/main" count="108" uniqueCount="28">
  <si>
    <t>OrderID</t>
  </si>
  <si>
    <t>Date</t>
  </si>
  <si>
    <t>Region</t>
  </si>
  <si>
    <t>Salesperson</t>
  </si>
  <si>
    <t>Product</t>
  </si>
  <si>
    <t>Category</t>
  </si>
  <si>
    <t>Sales</t>
  </si>
  <si>
    <t>South</t>
  </si>
  <si>
    <t>Ravi</t>
  </si>
  <si>
    <t>Laptop</t>
  </si>
  <si>
    <t>Electronics</t>
  </si>
  <si>
    <t>North</t>
  </si>
  <si>
    <t>Anita</t>
  </si>
  <si>
    <t>Mobile</t>
  </si>
  <si>
    <t>West</t>
  </si>
  <si>
    <t>Mahesh</t>
  </si>
  <si>
    <t>Chair</t>
  </si>
  <si>
    <t>Furniture</t>
  </si>
  <si>
    <t>East</t>
  </si>
  <si>
    <t>Sunita</t>
  </si>
  <si>
    <t>Table</t>
  </si>
  <si>
    <t>Row Labels</t>
  </si>
  <si>
    <t>Grand Total</t>
  </si>
  <si>
    <t>Sum of Sales</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</si>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</sst>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20"/>
      <color theme="1"/>
      <name val="Aptos Narrow"/>
      <family val="2"/>
      <scheme val="minor"/>
    </font>
    <font>
      <sz val="36"/>
      <color theme="1"/>
      <name val="Aptos Narrow"/>
      <family val="2"/>
      <scheme val="minor"/>
    </font>
    <font>
      <sz val="2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xf numFmtId="0" fontId="2" fillId="0" borderId="0" xfId="0" applyFont="1"/>
    <xf numFmtId="0" fontId="3" fillId="0" borderId="0" xfId="0" applyFont="1"/>
    <xf numFmtId="0" fontId="4" fillId="0" borderId="0" xfId="0" applyFont="1"/>
    <xf numFmtId="0" fontId="0" fillId="0" borderId="0" xfId="0" applyAlignment="1">
      <alignment wrapText="1"/>
    </xf>
  </cellXfs>
  <cellStyles count="1">
    <cellStyle name="Normal" xfId="0" builtinId="0"/>
  </cellStyles>
  <dxfs count="9">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[Sales_Analysis_Dashboard.xlsx]pivottable1!PivotTable1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pivottable1!$B$3</c:f>
              <c:strCache>
                <c:ptCount val="1"/>
                <c:pt idx="0">
                  <c:v>Total</c:v>
                </c:pt>
              </c:strCache>
            </c:strRef>
          </c:tx>
          <c:spPr>
            <a:solidFill>
              <a:schemeClr val="accent1"/>
            </a:solidFill>
            <a:ln>
              <a:noFill/>
            </a:ln>
            <a:effectLst/>
          </c:spPr>
          <c:invertIfNegative val="0"/>
          <c:cat>
            <c:strRef>
              <c:f>pivottable1!$A$4:$A$8</c:f>
              <c:strCache>
                <c:ptCount val="4"/>
                <c:pt idx="0">
                  <c:v>East</c:v>
                </c:pt>
                <c:pt idx="1">
                  <c:v>North</c:v>
                </c:pt>
                <c:pt idx="2">
                  <c:v>South</c:v>
                </c:pt>
                <c:pt idx="3">
                  <c:v>West</c:v>
                </c:pt>
              </c:strCache>
            </c:strRef>
          </c:cat>
          <c:val>
            <c:numRef>
              <c:f>pivottable1!$B$4:$B$8</c:f>
              <c:numCache>
                <c:formatCode>General</c:formatCode>
                <c:ptCount val="4"/>
                <c:pt idx="0">
                  <c:v>70500</c:v>
                </c:pt>
                <c:pt idx="1">
                  <c:v>172000</c:v>
                </c:pt>
                <c:pt idx="2">
                  <c:v>184000</c:v>
                </c:pt>
                <c:pt idx="3">
                  <c:v>41800</c:v>
                </c:pt>
              </c:numCache>
            </c:numRef>
          </c:val>
          <c:extLst>
            <c:ext xmlns:c16="http://schemas.microsoft.com/office/drawing/2014/chart" uri="{C3380CC4-5D6E-409C-BE32-E72D297353CC}">
              <c16:uniqueId val="{00000000-0C6F-4B01-A4A4-A06CAB9012DE}"/>
            </c:ext>
          </c:extLst>
        </c:ser>
        <c:dLbls>
          <c:showLegendKey val="0"/>
          <c:showVal val="0"/>
          <c:showCatName val="0"/>
          <c:showSerName val="0"/>
          <c:showPercent val="0"/>
          <c:showBubbleSize val="0"/>
        </c:dLbls>
        <c:gapWidth val="182"/>
        <c:axId val="79958864"/>
        <c:axId val="79959344"/>
      </c:barChart>
      <c:catAx>
        <c:axId val="7995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9344"/>
        <c:crosses val="autoZero"/>
        <c:auto val="1"/>
        <c:lblAlgn val="ctr"/>
        <c:lblOffset val="100"/>
        <c:noMultiLvlLbl val="0"/>
      </c:catAx>
      <c:valAx>
        <c:axId val="7995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5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[Sales_Analysis_Dashboard.xlsx]pivottable2!PivotTable2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pivottable2!$B$3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pivottable2!$A$4:$A$8</c:f>
              <c:strCache>
                <c:ptCount val="4"/>
                <c:pt idx="0">
                  <c:v>Chair</c:v>
                </c:pt>
                <c:pt idx="1">
                  <c:v>Laptop</c:v>
                </c:pt>
                <c:pt idx="2">
                  <c:v>Mobile</c:v>
                </c:pt>
                <c:pt idx="3">
                  <c:v>Table</c:v>
                </c:pt>
              </c:strCache>
            </c:strRef>
          </c:cat>
          <c:val>
            <c:numRef>
              <c:f>pivottable2!$B$4:$B$8</c:f>
              <c:numCache>
                <c:formatCode>General</c:formatCode>
                <c:ptCount val="4"/>
                <c:pt idx="0">
                  <c:v>41800</c:v>
                </c:pt>
                <c:pt idx="1">
                  <c:v>252000</c:v>
                </c:pt>
                <c:pt idx="2">
                  <c:v>104000</c:v>
                </c:pt>
                <c:pt idx="3">
                  <c:v>70500</c:v>
                </c:pt>
              </c:numCache>
            </c:numRef>
          </c:val>
          <c:extLst>
            <c:ext xmlns:c16="http://schemas.microsoft.com/office/drawing/2014/chart" uri="{C3380CC4-5D6E-409C-BE32-E72D297353CC}">
              <c16:uniqueId val="{00000000-0ED1-4EBC-82EF-60F4B7CD35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[Sales_Analysis_Dashboard.xlsx]pivottable3!PivotTable3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pivottable3!$B$3</c:f>
              <c:strCache>
                <c:ptCount val="1"/>
                <c:pt idx="0">
                  <c:v>Total</c:v>
                </c:pt>
              </c:strCache>
            </c:strRef>
          </c:tx>
          <c:spPr>
            <a:ln w="28575" cap="rnd">
              <a:solidFill>
                <a:schemeClr val="accent1"/>
              </a:solidFill>
              <a:round/>
            </a:ln>
            <a:effectLst/>
          </c:spPr>
          <c:marker>
            <c:symbol val="none"/>
          </c:marker>
          <c:cat>
            <c:strRef>
              <c:f>pivottable3!$A$4:$A$8</c:f>
              <c:strCache>
                <c:ptCount val="4"/>
                <c:pt idx="0">
                  <c:v>Jan</c:v>
                </c:pt>
                <c:pt idx="1">
                  <c:v>Feb</c:v>
                </c:pt>
                <c:pt idx="2">
                  <c:v>Mar</c:v>
                </c:pt>
                <c:pt idx="3">
                  <c:v>Apr</c:v>
                </c:pt>
              </c:strCache>
            </c:strRef>
          </c:cat>
          <c:val>
            <c:numRef>
              <c:f>pivottable3!$B$4:$B$8</c:f>
              <c:numCache>
                <c:formatCode>General</c:formatCode>
                <c:ptCount val="4"/>
                <c:pt idx="0">
                  <c:v>160000</c:v>
                </c:pt>
                <c:pt idx="1">
                  <c:v>93000</c:v>
                </c:pt>
                <c:pt idx="2">
                  <c:v>105200</c:v>
                </c:pt>
                <c:pt idx="3">
                  <c:v>110100</c:v>
                </c:pt>
              </c:numCache>
            </c:numRef>
          </c:val>
          <c:smooth val="0"/>
          <c:extLst>
            <c:ext xmlns:c16="http://schemas.microsoft.com/office/drawing/2014/chart" uri="{C3380CC4-5D6E-409C-BE32-E72D297353CC}">
              <c16:uniqueId val="{00000000-4CBF-4C02-8AE7-132A289ACB22}"/>
            </c:ext>
          </c:extLst>
        </c:ser>
        <c:dLbls>
          <c:showLegendKey val="0"/>
          <c:showVal val="0"/>
          <c:showCatName val="0"/>
          <c:showSerName val="0"/>
          <c:showPercent val="0"/>
          <c:showBubbleSize val="0"/>
        </c:dLbls>
        <c:smooth val="0"/>
        <c:axId val="79967984"/>
        <c:axId val="79968464"/>
      </c:lineChart>
      <c:catAx>
        <c:axId val="799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464"/>
        <c:crosses val="autoZero"/>
        <c:auto val="1"/>
        <c:lblAlgn val="ctr"/>
        <c:lblOffset val="100"/>
        <c:noMultiLvlLbl val="0"/>
      </c:catAx>
      <c:valAx>
        <c:axId val="7996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[Sales_Analysis_Dashboard.xlsx]pivottable1!PivotTable1</c:name>
    <c:fmtId val="3"/>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IN" sz="1400" b="0" i="0" u="none" strike="noStrike" baseline="0"/>
              <a:t>Sales by Region</a:t>
            </a:r>
            <a:endParaRPr lang="en-US"/>
          </a:p>
        </c:rich>
      </c:tx>
      <c:layout>
        <c:manualLayout>
          <c:xMode val="edge"/>
          <c:yMode val="edge"/>
          <c:x val="0.37978416760404954"/>
          <c:y val="0.105308527610519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22039905646753"/>
          <c:y val="0.2143996173368381"/>
          <c:w val="0.54256952099860323"/>
          <c:h val="0.43819338539391572"/>
        </c:manualLayout>
      </c:layout>
      <c:barChart>
        <c:barDir val="bar"/>
        <c:grouping val="clustered"/>
        <c:varyColors val="0"/>
        <c:ser>
          <c:idx val="0"/>
          <c:order val="0"/>
          <c:tx>
            <c:strRef>
              <c:f>pivottable1!$B$3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pivottable1!$A$4:$A$8</c:f>
              <c:strCache>
                <c:ptCount val="4"/>
                <c:pt idx="0">
                  <c:v>East</c:v>
                </c:pt>
                <c:pt idx="1">
                  <c:v>North</c:v>
                </c:pt>
                <c:pt idx="2">
                  <c:v>South</c:v>
                </c:pt>
                <c:pt idx="3">
                  <c:v>West</c:v>
                </c:pt>
              </c:strCache>
            </c:strRef>
          </c:cat>
          <c:val>
            <c:numRef>
              <c:f>pivottable1!$B$4:$B$8</c:f>
              <c:numCache>
                <c:formatCode>General</c:formatCode>
                <c:ptCount val="4"/>
                <c:pt idx="0">
                  <c:v>70500</c:v>
                </c:pt>
                <c:pt idx="1">
                  <c:v>172000</c:v>
                </c:pt>
                <c:pt idx="2">
                  <c:v>184000</c:v>
                </c:pt>
                <c:pt idx="3">
                  <c:v>41800</c:v>
                </c:pt>
              </c:numCache>
            </c:numRef>
          </c:val>
          <c:extLst>
            <c:ext xmlns:c16="http://schemas.microsoft.com/office/drawing/2014/chart" uri="{C3380CC4-5D6E-409C-BE32-E72D297353CC}">
              <c16:uniqueId val="{00000000-45A4-4270-9F35-A7C95BEEA2DB}"/>
            </c:ext>
          </c:extLst>
        </c:ser>
        <c:dLbls>
          <c:dLblPos val="outEnd"/>
          <c:showLegendKey val="0"/>
          <c:showVal val="1"/>
          <c:showCatName val="0"/>
          <c:showSerName val="0"/>
          <c:showPercent val="0"/>
          <c:showBubbleSize val="0"/>
        </c:dLbls>
        <c:gapWidth val="182"/>
        <c:axId val="79958864"/>
        <c:axId val="79959344"/>
      </c:barChart>
      <c:catAx>
        <c:axId val="799588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9959344"/>
        <c:crosses val="autoZero"/>
        <c:auto val="1"/>
        <c:lblAlgn val="ctr"/>
        <c:lblOffset val="100"/>
        <c:noMultiLvlLbl val="0"/>
      </c:catAx>
      <c:valAx>
        <c:axId val="79959344"/>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995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7030A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[Sales_Analysis_Dashboard.xlsx]pivottable3!PivotTable3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1240076471922"/>
          <c:y val="0.23448652048078339"/>
          <c:w val="0.61239509760850708"/>
          <c:h val="0.53811424613589964"/>
        </c:manualLayout>
      </c:layout>
      <c:lineChart>
        <c:grouping val="standard"/>
        <c:varyColors val="0"/>
        <c:ser>
          <c:idx val="0"/>
          <c:order val="0"/>
          <c:tx>
            <c:strRef>
              <c:f>pivottable3!$B$3</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pivottable3!$A$4:$A$8</c:f>
              <c:strCache>
                <c:ptCount val="4"/>
                <c:pt idx="0">
                  <c:v>Jan</c:v>
                </c:pt>
                <c:pt idx="1">
                  <c:v>Feb</c:v>
                </c:pt>
                <c:pt idx="2">
                  <c:v>Mar</c:v>
                </c:pt>
                <c:pt idx="3">
                  <c:v>Apr</c:v>
                </c:pt>
              </c:strCache>
            </c:strRef>
          </c:cat>
          <c:val>
            <c:numRef>
              <c:f>pivottable3!$B$4:$B$8</c:f>
              <c:numCache>
                <c:formatCode>General</c:formatCode>
                <c:ptCount val="4"/>
                <c:pt idx="0">
                  <c:v>160000</c:v>
                </c:pt>
                <c:pt idx="1">
                  <c:v>93000</c:v>
                </c:pt>
                <c:pt idx="2">
                  <c:v>105200</c:v>
                </c:pt>
                <c:pt idx="3">
                  <c:v>110100</c:v>
                </c:pt>
              </c:numCache>
            </c:numRef>
          </c:val>
          <c:smooth val="0"/>
          <c:extLst>
            <c:ext xmlns:c16="http://schemas.microsoft.com/office/drawing/2014/chart" uri="{C3380CC4-5D6E-409C-BE32-E72D297353CC}">
              <c16:uniqueId val="{00000000-E71F-49DB-9252-A09ECE9632F8}"/>
            </c:ext>
          </c:extLst>
        </c:ser>
        <c:dLbls>
          <c:dLblPos val="t"/>
          <c:showLegendKey val="0"/>
          <c:showVal val="1"/>
          <c:showCatName val="0"/>
          <c:showSerName val="0"/>
          <c:showPercent val="0"/>
          <c:showBubbleSize val="0"/>
        </c:dLbls>
        <c:smooth val="0"/>
        <c:axId val="79967984"/>
        <c:axId val="79968464"/>
      </c:lineChart>
      <c:catAx>
        <c:axId val="799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8464"/>
        <c:crosses val="autoZero"/>
        <c:auto val="1"/>
        <c:lblAlgn val="ctr"/>
        <c:lblOffset val="100"/>
        <c:noMultiLvlLbl val="0"/>
      </c:catAx>
      <c:valAx>
        <c:axId val="7996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[Sales_Analysis_Dashboard.xlsx]pivottable2!PivotTable2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r>
              <a:rPr lang="en-US" baseline="0"/>
              <a:t> </a:t>
            </a:r>
          </a:p>
        </c:rich>
      </c:tx>
      <c:layout>
        <c:manualLayout>
          <c:xMode val="edge"/>
          <c:yMode val="edge"/>
          <c:x val="0.33007911713010735"/>
          <c:y val="0.105051049547901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s>
    <c:plotArea>
      <c:layout/>
      <c:pieChart>
        <c:varyColors val="1"/>
        <c:ser>
          <c:idx val="0"/>
          <c:order val="0"/>
          <c:tx>
            <c:strRef>
              <c:f>pivottable2!$B$3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38EC-46AA-9360-88F1C692D1F2}"/>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38EC-46AA-9360-88F1C692D1F2}"/>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38EC-46AA-9360-88F1C692D1F2}"/>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38EC-46AA-9360-88F1C692D1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pivottable2!$A$4:$A$8</c:f>
              <c:strCache>
                <c:ptCount val="4"/>
                <c:pt idx="0">
                  <c:v>Chair</c:v>
                </c:pt>
                <c:pt idx="1">
                  <c:v>Laptop</c:v>
                </c:pt>
                <c:pt idx="2">
                  <c:v>Mobile</c:v>
                </c:pt>
                <c:pt idx="3">
                  <c:v>Table</c:v>
                </c:pt>
              </c:strCache>
            </c:strRef>
          </c:cat>
          <c:val>
            <c:numRef>
              <c:f>pivottable2!$B$4:$B$8</c:f>
              <c:numCache>
                <c:formatCode>General</c:formatCode>
                <c:ptCount val="4"/>
                <c:pt idx="0">
                  <c:v>41800</c:v>
                </c:pt>
                <c:pt idx="1">
                  <c:v>252000</c:v>
                </c:pt>
                <c:pt idx="2">
                  <c:v>104000</c:v>
                </c:pt>
                <c:pt idx="3">
                  <c:v>70500</c:v>
                </c:pt>
              </c:numCache>
            </c:numRef>
          </c:val>
          <c:extLst>
            <c:ext xmlns:c16="http://schemas.microsoft.com/office/drawing/2014/chart" uri="{C3380CC4-5D6E-409C-BE32-E72D297353CC}">
              <c16:uniqueId val="{00000008-38EC-46AA-9360-88F1C692D1F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22</xdr:row>
      <xdr:rowOff>144780</xdr:rowOff>
    </xdr:to>
    <xdr:graphicFrame macro="">
      <xdr:nvGraphicFramePr>
        <xdr:cNvPr id="2" name="Chart 1">
          <a:extLst>
            <a:ext uri="{FF2B5EF4-FFF2-40B4-BE49-F238E27FC236}">
              <a16:creationId xmlns:a16="http://schemas.microsoft.com/office/drawing/2014/main" id="{A560EA4D-0A50-B56D-36E3-4F2A6E471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167640</xdr:colOff>
      <xdr:row>6</xdr:row>
      <xdr:rowOff>0</xdr:rowOff>
    </xdr:from>
    <xdr:to>
      <xdr:col>15</xdr:col>
      <xdr:colOff>167640</xdr:colOff>
      <xdr:row>20</xdr:row>
      <xdr:rowOff>20955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A0CF2287-C32D-7608-09D4-403D907920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09560" y="109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49DE65A1-92A2-C318-776D-1A3477ACE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76200</xdr:colOff>
      <xdr:row>4</xdr:row>
      <xdr:rowOff>137160</xdr:rowOff>
    </xdr:from>
    <xdr:to>
      <xdr:col>16</xdr:col>
      <xdr:colOff>7620</xdr:colOff>
      <xdr:row>14</xdr:row>
      <xdr:rowOff>7619</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92EB6585-A339-D1D7-3BBE-AA7ADAC7B65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427720" y="868680"/>
              <a:ext cx="1760220" cy="1699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6</xdr:row>
      <xdr:rowOff>45720</xdr:rowOff>
    </xdr:from>
    <xdr:to>
      <xdr:col>11</xdr:col>
      <xdr:colOff>571500</xdr:colOff>
      <xdr:row>21</xdr:row>
      <xdr:rowOff>45720</xdr:rowOff>
    </xdr:to>
    <xdr:graphicFrame macro="">
      <xdr:nvGraphicFramePr>
        <xdr:cNvPr id="2" name="Chart 1">
          <a:extLst>
            <a:ext uri="{FF2B5EF4-FFF2-40B4-BE49-F238E27FC236}">
              <a16:creationId xmlns:a16="http://schemas.microsoft.com/office/drawing/2014/main" id="{ED1F295F-98E8-FFCE-3C91-C1AFB54BF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464820</xdr:colOff>
      <xdr:row>6</xdr:row>
      <xdr:rowOff>22860</xdr:rowOff>
    </xdr:from>
    <xdr:to>
      <xdr:col>15</xdr:col>
      <xdr:colOff>464820</xdr:colOff>
      <xdr:row>20</xdr:row>
      <xdr:rowOff>43815</xdr:rowOff>
    </xdr:to>
    <mc:AlternateContent xmlns:mc="http://schemas.openxmlformats.org/markup-compatibility/2006">
      <mc:Choice xmlns:a14="http://schemas.microsoft.com/office/drawing/2010/main" Requires="a14">
        <xdr:graphicFrame macro="">
          <xdr:nvGraphicFramePr>
            <xdr:cNvPr id="3" name="Months (Date)">
              <a:extLst>
                <a:ext uri="{FF2B5EF4-FFF2-40B4-BE49-F238E27FC236}">
                  <a16:creationId xmlns:a16="http://schemas.microsoft.com/office/drawing/2014/main" id="{FD726616-24E8-C3DF-08E7-525AA891898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206740" y="1120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8</xdr:row>
      <xdr:rowOff>106680</xdr:rowOff>
    </xdr:from>
    <xdr:to>
      <xdr:col>21</xdr:col>
      <xdr:colOff>403860</xdr:colOff>
      <xdr:row>16</xdr:row>
      <xdr:rowOff>15240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C335AE4F-D3A9-E4AA-1E51-A74D6144B27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294620" y="15697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9</xdr:col>
      <xdr:colOff>611273</xdr:colOff>
      <xdr:row>19</xdr:row>
      <xdr:rowOff>149972</xdr:rowOff>
    </xdr:from>
    <xdr:to>
      <xdr:col>17</xdr:col>
      <xdr:colOff>602901</xdr:colOff>
      <xdr:row>36</xdr:row>
      <xdr:rowOff>149972</xdr:rowOff>
    </xdr:to>
    <xdr:graphicFrame macro="">
      <xdr:nvGraphicFramePr>
        <xdr:cNvPr id="3" name="Chart 2">
          <a:extLst>
            <a:ext uri="{FF2B5EF4-FFF2-40B4-BE49-F238E27FC236}">
              <a16:creationId xmlns:a16="http://schemas.microsoft.com/office/drawing/2014/main" id="{3B08DC3B-F4DF-44E3-B954-8D4B4AA61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552661</xdr:colOff>
      <xdr:row>59</xdr:row>
      <xdr:rowOff>21353</xdr:rowOff>
    </xdr:from>
    <xdr:to>
      <xdr:col>14</xdr:col>
      <xdr:colOff>602901</xdr:colOff>
      <xdr:row>76</xdr:row>
      <xdr:rowOff>28973</xdr:rowOff>
    </xdr:to>
    <xdr:graphicFrame macro="">
      <xdr:nvGraphicFramePr>
        <xdr:cNvPr id="5" name="Chart 4">
          <a:extLst>
            <a:ext uri="{FF2B5EF4-FFF2-40B4-BE49-F238E27FC236}">
              <a16:creationId xmlns:a16="http://schemas.microsoft.com/office/drawing/2014/main" id="{AE162728-F373-4434-826A-2F3CC5667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8374</xdr:colOff>
      <xdr:row>40</xdr:row>
      <xdr:rowOff>16915</xdr:rowOff>
    </xdr:from>
    <xdr:to>
      <xdr:col>18</xdr:col>
      <xdr:colOff>1</xdr:colOff>
      <xdr:row>57</xdr:row>
      <xdr:rowOff>24535</xdr:rowOff>
    </xdr:to>
    <xdr:graphicFrame macro="">
      <xdr:nvGraphicFramePr>
        <xdr:cNvPr id="6" name="Chart 5">
          <a:extLst>
            <a:ext uri="{FF2B5EF4-FFF2-40B4-BE49-F238E27FC236}">
              <a16:creationId xmlns:a16="http://schemas.microsoft.com/office/drawing/2014/main" id="{58AECE5E-333E-447D-AEE1-DCA30A9D7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58615</xdr:colOff>
      <xdr:row>23</xdr:row>
      <xdr:rowOff>108858</xdr:rowOff>
    </xdr:from>
    <xdr:to>
      <xdr:col>9</xdr:col>
      <xdr:colOff>75362</xdr:colOff>
      <xdr:row>35</xdr:row>
      <xdr:rowOff>142351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DECF26AD-5F7B-44CA-988E-BADA51741E9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9890" y="5426111"/>
              <a:ext cx="4906945" cy="2244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410308</xdr:colOff>
      <xdr:row>10</xdr:row>
      <xdr:rowOff>82982</xdr:rowOff>
    </xdr:from>
    <xdr:to>
      <xdr:col>14</xdr:col>
      <xdr:colOff>368440</xdr:colOff>
      <xdr:row>18</xdr:row>
      <xdr:rowOff>75361</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BE9531FA-B3A9-4CA6-BC43-0D19FED201D2}"/>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466682" y="2762542"/>
              <a:ext cx="5459604" cy="17089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577781</xdr:colOff>
      <xdr:row>44</xdr:row>
      <xdr:rowOff>41111</xdr:rowOff>
    </xdr:from>
    <xdr:to>
      <xdr:col>9</xdr:col>
      <xdr:colOff>0</xdr:colOff>
      <xdr:row>54</xdr:row>
      <xdr:rowOff>75363</xdr:rowOff>
    </xdr:to>
    <mc:AlternateContent xmlns:mc="http://schemas.openxmlformats.org/markup-compatibility/2006">
      <mc:Choice xmlns:a14="http://schemas.microsoft.com/office/drawing/2010/main" Requires="a14">
        <xdr:graphicFrame macro="">
          <xdr:nvGraphicFramePr>
            <xdr:cNvPr id="10" name="Product 1">
              <a:extLst>
                <a:ext uri="{FF2B5EF4-FFF2-40B4-BE49-F238E27FC236}">
                  <a16:creationId xmlns:a16="http://schemas.microsoft.com/office/drawing/2014/main" id="{8BEA32B9-B532-426E-B538-4DEA9D756BF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77781" y="9226979"/>
              <a:ext cx="4923692" cy="187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8373</xdr:colOff>
      <xdr:row>1</xdr:row>
      <xdr:rowOff>15241</xdr:rowOff>
    </xdr:from>
    <xdr:to>
      <xdr:col>14</xdr:col>
      <xdr:colOff>16747</xdr:colOff>
      <xdr:row>1</xdr:row>
      <xdr:rowOff>527539</xdr:rowOff>
    </xdr:to>
    <xdr:sp macro="" textlink="">
      <xdr:nvSpPr>
        <xdr:cNvPr id="11" name="TextBox 10">
          <a:extLst>
            <a:ext uri="{FF2B5EF4-FFF2-40B4-BE49-F238E27FC236}">
              <a16:creationId xmlns:a16="http://schemas.microsoft.com/office/drawing/2014/main" id="{4F597A96-3CC4-D221-8EEA-34773911BC56}"/>
            </a:ext>
          </a:extLst>
        </xdr:cNvPr>
        <xdr:cNvSpPr txBox="1"/>
      </xdr:nvSpPr>
      <xdr:spPr>
        <a:xfrm>
          <a:off x="3676021" y="618142"/>
          <a:ext cx="4898572" cy="512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     </a:t>
          </a:r>
          <a:r>
            <a:rPr lang="en-IN" sz="2800" b="1"/>
            <a:t>SALES</a:t>
          </a:r>
          <a:r>
            <a:rPr lang="en-IN" sz="2800" b="1" baseline="0"/>
            <a:t> ANALYSIS DASHBOARD    </a:t>
          </a:r>
          <a:endParaRPr lang="en-IN" sz="2800" b="1"/>
        </a:p>
      </xdr:txBody>
    </xdr:sp>
    <xdr:clientData/>
  </xdr:twoCellAnchor>
  <xdr:twoCellAnchor>
    <xdr:from>
      <xdr:col>9</xdr:col>
      <xdr:colOff>25121</xdr:colOff>
      <xdr:row>5</xdr:row>
      <xdr:rowOff>25121</xdr:rowOff>
    </xdr:from>
    <xdr:to>
      <xdr:col>11</xdr:col>
      <xdr:colOff>25121</xdr:colOff>
      <xdr:row>9</xdr:row>
      <xdr:rowOff>16748</xdr:rowOff>
    </xdr:to>
    <xdr:sp macro="" textlink="Sheet1!J3">
      <xdr:nvSpPr>
        <xdr:cNvPr id="19" name="Rectangle 18">
          <a:extLst>
            <a:ext uri="{FF2B5EF4-FFF2-40B4-BE49-F238E27FC236}">
              <a16:creationId xmlns:a16="http://schemas.microsoft.com/office/drawing/2014/main" id="{64186BBF-345A-F052-95AF-3DF226FA854D}"/>
            </a:ext>
          </a:extLst>
        </xdr:cNvPr>
        <xdr:cNvSpPr/>
      </xdr:nvSpPr>
      <xdr:spPr>
        <a:xfrm>
          <a:off x="5526594" y="1783583"/>
          <a:ext cx="1222549" cy="728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7C43A2-02F0-4A82-8DA1-EFE13B5606A2}" type="TxLink">
            <a:rPr lang="en-US" sz="2800" b="1" i="0" u="none" strike="noStrike">
              <a:solidFill>
                <a:schemeClr val="accent1">
                  <a:lumMod val="20000"/>
                  <a:lumOff val="80000"/>
                </a:schemeClr>
              </a:solidFill>
              <a:latin typeface="Aptos Narrow"/>
            </a:rPr>
            <a:t>20</a:t>
          </a:fld>
          <a:endParaRPr lang="en-IN" sz="2800" b="1">
            <a:solidFill>
              <a:schemeClr val="accent1">
                <a:lumMod val="20000"/>
                <a:lumOff val="80000"/>
              </a:schemeClr>
            </a:solidFill>
          </a:endParaRPr>
        </a:p>
      </xdr:txBody>
    </xdr:sp>
    <xdr:clientData/>
  </xdr:twoCellAnchor>
  <xdr:twoCellAnchor>
    <xdr:from>
      <xdr:col>12</xdr:col>
      <xdr:colOff>25123</xdr:colOff>
      <xdr:row>5</xdr:row>
      <xdr:rowOff>25122</xdr:rowOff>
    </xdr:from>
    <xdr:to>
      <xdr:col>13</xdr:col>
      <xdr:colOff>594530</xdr:colOff>
      <xdr:row>8</xdr:row>
      <xdr:rowOff>175847</xdr:rowOff>
    </xdr:to>
    <xdr:sp macro="" textlink="Sheet1!J4">
      <xdr:nvSpPr>
        <xdr:cNvPr id="20" name="Rectangle 19">
          <a:extLst>
            <a:ext uri="{FF2B5EF4-FFF2-40B4-BE49-F238E27FC236}">
              <a16:creationId xmlns:a16="http://schemas.microsoft.com/office/drawing/2014/main" id="{2AB2958D-CA51-0BB9-9EDF-256818CAE6C1}"/>
            </a:ext>
          </a:extLst>
        </xdr:cNvPr>
        <xdr:cNvSpPr/>
      </xdr:nvSpPr>
      <xdr:spPr>
        <a:xfrm>
          <a:off x="7360420" y="1783584"/>
          <a:ext cx="1180681" cy="7033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8906217-74AA-4405-BCC1-514154BB3C06}" type="TxLink">
            <a:rPr lang="en-US" sz="2800" b="1" i="0" u="none" strike="noStrike">
              <a:solidFill>
                <a:schemeClr val="accent1">
                  <a:lumMod val="20000"/>
                  <a:lumOff val="80000"/>
                </a:schemeClr>
              </a:solidFill>
              <a:latin typeface="Aptos Narrow"/>
            </a:rPr>
            <a:t>23415</a:t>
          </a:fld>
          <a:endParaRPr lang="en-IN" sz="2800" b="1">
            <a:solidFill>
              <a:schemeClr val="accent1">
                <a:lumMod val="20000"/>
                <a:lumOff val="80000"/>
              </a:schemeClr>
            </a:solidFill>
          </a:endParaRPr>
        </a:p>
      </xdr:txBody>
    </xdr:sp>
    <xdr:clientData/>
  </xdr:twoCellAnchor>
  <xdr:twoCellAnchor>
    <xdr:from>
      <xdr:col>6</xdr:col>
      <xdr:colOff>16748</xdr:colOff>
      <xdr:row>5</xdr:row>
      <xdr:rowOff>0</xdr:rowOff>
    </xdr:from>
    <xdr:to>
      <xdr:col>7</xdr:col>
      <xdr:colOff>602901</xdr:colOff>
      <xdr:row>8</xdr:row>
      <xdr:rowOff>159099</xdr:rowOff>
    </xdr:to>
    <xdr:sp macro="" textlink="Sheet1!J2">
      <xdr:nvSpPr>
        <xdr:cNvPr id="21" name="Rectangle 20">
          <a:extLst>
            <a:ext uri="{FF2B5EF4-FFF2-40B4-BE49-F238E27FC236}">
              <a16:creationId xmlns:a16="http://schemas.microsoft.com/office/drawing/2014/main" id="{A7F95BC3-9445-1439-E4AC-9958A2D6CD58}"/>
            </a:ext>
          </a:extLst>
        </xdr:cNvPr>
        <xdr:cNvSpPr/>
      </xdr:nvSpPr>
      <xdr:spPr>
        <a:xfrm>
          <a:off x="3684396" y="1758462"/>
          <a:ext cx="1197428" cy="7117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7947BDB-4475-4368-88B0-E8BB2DDCC19E}" type="TxLink">
            <a:rPr lang="en-US" sz="2800" b="1" i="0" u="none" strike="noStrike">
              <a:solidFill>
                <a:schemeClr val="accent1">
                  <a:lumMod val="20000"/>
                  <a:lumOff val="80000"/>
                </a:schemeClr>
              </a:solidFill>
              <a:latin typeface="Aptos Narrow"/>
            </a:rPr>
            <a:t>468300</a:t>
          </a:fld>
          <a:endParaRPr lang="en-IN" sz="2800" b="1">
            <a:solidFill>
              <a:schemeClr val="accent1">
                <a:lumMod val="20000"/>
                <a:lumOff val="80000"/>
              </a:schemeClr>
            </a:solidFill>
          </a:endParaRPr>
        </a:p>
      </xdr:txBody>
    </xdr:sp>
    <xdr:clientData/>
  </xdr:twoCellAnchor>
  <xdr:twoCellAnchor>
    <xdr:from>
      <xdr:col>16</xdr:col>
      <xdr:colOff>460548</xdr:colOff>
      <xdr:row>11</xdr:row>
      <xdr:rowOff>167472</xdr:rowOff>
    </xdr:from>
    <xdr:to>
      <xdr:col>18</xdr:col>
      <xdr:colOff>443801</xdr:colOff>
      <xdr:row>13</xdr:row>
      <xdr:rowOff>16746</xdr:rowOff>
    </xdr:to>
    <xdr:sp macro="" textlink="">
      <xdr:nvSpPr>
        <xdr:cNvPr id="24" name="TextBox 23">
          <a:extLst>
            <a:ext uri="{FF2B5EF4-FFF2-40B4-BE49-F238E27FC236}">
              <a16:creationId xmlns:a16="http://schemas.microsoft.com/office/drawing/2014/main" id="{BE9C21E7-7DDF-6AFC-9D8C-F1B63B3C8608}"/>
            </a:ext>
          </a:extLst>
        </xdr:cNvPr>
        <xdr:cNvSpPr txBox="1"/>
      </xdr:nvSpPr>
      <xdr:spPr>
        <a:xfrm flipH="1">
          <a:off x="10240944" y="3031252"/>
          <a:ext cx="1205802" cy="460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9</xdr:col>
      <xdr:colOff>25121</xdr:colOff>
      <xdr:row>3</xdr:row>
      <xdr:rowOff>16748</xdr:rowOff>
    </xdr:from>
    <xdr:ext cx="1189054" cy="368440"/>
    <xdr:sp macro="" textlink="">
      <xdr:nvSpPr>
        <xdr:cNvPr id="29" name="TextBox 28">
          <a:extLst>
            <a:ext uri="{FF2B5EF4-FFF2-40B4-BE49-F238E27FC236}">
              <a16:creationId xmlns:a16="http://schemas.microsoft.com/office/drawing/2014/main" id="{A6707ADF-CAE3-635B-C398-51EDB695753A}"/>
            </a:ext>
          </a:extLst>
        </xdr:cNvPr>
        <xdr:cNvSpPr txBox="1"/>
      </xdr:nvSpPr>
      <xdr:spPr>
        <a:xfrm>
          <a:off x="5526594" y="1406770"/>
          <a:ext cx="1189054" cy="368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a:t>Order Sales</a:t>
          </a:r>
        </a:p>
      </xdr:txBody>
    </xdr:sp>
    <xdr:clientData/>
  </xdr:oneCellAnchor>
  <xdr:oneCellAnchor>
    <xdr:from>
      <xdr:col>12</xdr:col>
      <xdr:colOff>8373</xdr:colOff>
      <xdr:row>2</xdr:row>
      <xdr:rowOff>175846</xdr:rowOff>
    </xdr:from>
    <xdr:ext cx="1214175" cy="385187"/>
    <xdr:sp macro="" textlink="">
      <xdr:nvSpPr>
        <xdr:cNvPr id="30" name="TextBox 29">
          <a:extLst>
            <a:ext uri="{FF2B5EF4-FFF2-40B4-BE49-F238E27FC236}">
              <a16:creationId xmlns:a16="http://schemas.microsoft.com/office/drawing/2014/main" id="{B2ED2B1A-3560-C9F3-02CF-DDE78B4C4745}"/>
            </a:ext>
          </a:extLst>
        </xdr:cNvPr>
        <xdr:cNvSpPr txBox="1"/>
      </xdr:nvSpPr>
      <xdr:spPr>
        <a:xfrm>
          <a:off x="7343670" y="1381648"/>
          <a:ext cx="1214175" cy="385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    </a:t>
          </a:r>
          <a:r>
            <a:rPr lang="en-IN" sz="1100" b="1"/>
            <a:t>Average Sales</a:t>
          </a:r>
        </a:p>
      </xdr:txBody>
    </xdr:sp>
    <xdr:clientData/>
  </xdr:oneCellAnchor>
  <xdr:twoCellAnchor>
    <xdr:from>
      <xdr:col>6</xdr:col>
      <xdr:colOff>8374</xdr:colOff>
      <xdr:row>3</xdr:row>
      <xdr:rowOff>0</xdr:rowOff>
    </xdr:from>
    <xdr:to>
      <xdr:col>7</xdr:col>
      <xdr:colOff>602900</xdr:colOff>
      <xdr:row>4</xdr:row>
      <xdr:rowOff>175846</xdr:rowOff>
    </xdr:to>
    <xdr:sp macro="" textlink="">
      <xdr:nvSpPr>
        <xdr:cNvPr id="31" name="TextBox 30">
          <a:extLst>
            <a:ext uri="{FF2B5EF4-FFF2-40B4-BE49-F238E27FC236}">
              <a16:creationId xmlns:a16="http://schemas.microsoft.com/office/drawing/2014/main" id="{E5C3C78F-3807-6646-CCBB-7168BA346746}"/>
            </a:ext>
          </a:extLst>
        </xdr:cNvPr>
        <xdr:cNvSpPr txBox="1"/>
      </xdr:nvSpPr>
      <xdr:spPr>
        <a:xfrm>
          <a:off x="3676022" y="1390022"/>
          <a:ext cx="1205801" cy="3600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Total Sales</a:t>
          </a:r>
        </a:p>
      </xdr:txBody>
    </xdr:sp>
    <xdr:clientData/>
  </xdr:twoCellAnchor>
  <xdr:oneCellAnchor>
    <xdr:from>
      <xdr:col>3</xdr:col>
      <xdr:colOff>100484</xdr:colOff>
      <xdr:row>41</xdr:row>
      <xdr:rowOff>125603</xdr:rowOff>
    </xdr:from>
    <xdr:ext cx="1574241" cy="264559"/>
    <xdr:sp macro="" textlink="">
      <xdr:nvSpPr>
        <xdr:cNvPr id="32" name="TextBox 31">
          <a:extLst>
            <a:ext uri="{FF2B5EF4-FFF2-40B4-BE49-F238E27FC236}">
              <a16:creationId xmlns:a16="http://schemas.microsoft.com/office/drawing/2014/main" id="{B37403F1-24B9-59B5-7C44-000F56F666A6}"/>
            </a:ext>
          </a:extLst>
        </xdr:cNvPr>
        <xdr:cNvSpPr txBox="1"/>
      </xdr:nvSpPr>
      <xdr:spPr>
        <a:xfrm>
          <a:off x="1934308" y="8758812"/>
          <a:ext cx="1574241" cy="2645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         Product Slicer</a:t>
          </a:r>
        </a:p>
      </xdr:txBody>
    </xdr:sp>
    <xdr:clientData/>
  </xdr:oneCellAnchor>
  <xdr:twoCellAnchor>
    <xdr:from>
      <xdr:col>3</xdr:col>
      <xdr:colOff>494044</xdr:colOff>
      <xdr:row>21</xdr:row>
      <xdr:rowOff>100484</xdr:rowOff>
    </xdr:from>
    <xdr:to>
      <xdr:col>5</xdr:col>
      <xdr:colOff>159099</xdr:colOff>
      <xdr:row>22</xdr:row>
      <xdr:rowOff>159099</xdr:rowOff>
    </xdr:to>
    <xdr:sp macro="" textlink="">
      <xdr:nvSpPr>
        <xdr:cNvPr id="33" name="TextBox 32">
          <a:extLst>
            <a:ext uri="{FF2B5EF4-FFF2-40B4-BE49-F238E27FC236}">
              <a16:creationId xmlns:a16="http://schemas.microsoft.com/office/drawing/2014/main" id="{94F4B5A7-6A60-E2F8-8E6D-24065388A081}"/>
            </a:ext>
          </a:extLst>
        </xdr:cNvPr>
        <xdr:cNvSpPr txBox="1"/>
      </xdr:nvSpPr>
      <xdr:spPr>
        <a:xfrm>
          <a:off x="2327868" y="5049297"/>
          <a:ext cx="887605" cy="242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Sales Slicer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i chikkam" refreshedDate="46092.454424421296" createdVersion="8" refreshedVersion="8" minRefreshableVersion="3" recordCount="20" xr:uid="{C1FCB494-4149-49D3-AC18-718AE98178AA}">
  <cacheSource type="worksheet">
    <worksheetSource name="Table1"/>
  </cacheSource>
  <cacheFields count="9">
    <cacheField name="OrderID" numFmtId="0">
      <sharedItems containsSemiMixedTypes="0" containsString="0" containsNumber="1" containsInteger="1" minValue="101" maxValue="120"/>
    </cacheField>
    <cacheField name="Date" numFmtId="14">
      <sharedItems containsSemiMixedTypes="0" containsNonDate="0" containsDate="1" containsString="0" minDate="2024-01-02T00:00:00" maxDate="2024-05-01T00:00:00" count="20">
        <d v="2024-01-02T00:00:00"/>
        <d v="2024-01-05T00:00:00"/>
        <d v="2024-01-08T00:00:00"/>
        <d v="2024-01-12T00:00:00"/>
        <d v="2024-01-20T00:00:00"/>
        <d v="2024-01-25T00:00:00"/>
        <d v="2024-02-05T00:00:00"/>
        <d v="2024-02-10T00:00:00"/>
        <d v="2024-02-15T00:00:00"/>
        <d v="2024-02-20T00:00:00"/>
        <d v="2024-03-01T00:00:00"/>
        <d v="2024-03-10T00:00:00"/>
        <d v="2024-03-15T00:00:00"/>
        <d v="2024-03-22T00:00:00"/>
        <d v="2024-03-28T00:00:00"/>
        <d v="2024-04-05T00:00:00"/>
        <d v="2024-04-12T00:00:00"/>
        <d v="2024-04-18T00:00:00"/>
        <d v="2024-04-25T00:00:00"/>
        <d v="2024-04-30T00:00:00"/>
      </sharedItems>
      <fieldGroup par="8"/>
    </cacheField>
    <cacheField name="Region" numFmtId="0">
      <sharedItems count="4">
        <s v="South"/>
        <s v="North"/>
        <s v="West"/>
        <s v="East"/>
      </sharedItems>
    </cacheField>
    <cacheField name="Salesperson" numFmtId="0">
      <sharedItems/>
    </cacheField>
    <cacheField name="Product" numFmtId="0">
      <sharedItems count="4">
        <s v="Laptop"/>
        <s v="Mobile"/>
        <s v="Chair"/>
        <s v="Table"/>
      </sharedItems>
    </cacheField>
    <cacheField name="Category" numFmtId="0">
      <sharedItems/>
    </cacheField>
    <cacheField name="Sales" numFmtId="0">
      <sharedItems containsSemiMixedTypes="0" containsString="0" containsNumber="1" containsInteger="1" minValue="7500" maxValue="55000"/>
    </cacheField>
    <cacheField name="Days (Date)" numFmtId="0" databaseField="0">
      <fieldGroup base="1">
        <rangePr groupBy="days" startDate="2024-01-02T00:00:00" endDate="2024-05-0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4"/>
        </groupItems>
      </fieldGroup>
    </cacheField>
    <cacheField name="Months (Date)" numFmtId="0" databaseField="0">
      <fieldGroup base="1">
        <rangePr groupBy="months" startDate="2024-01-02T00:00:00" endDate="2024-05-01T00:00:00"/>
        <groupItems count="14">
          <s v="&lt;02-01-2024"/>
          <s v="Jan"/>
          <s v="Feb"/>
          <s v="Mar"/>
          <s v="Apr"/>
          <s v="May"/>
          <s v="Jun"/>
          <s v="Jul"/>
          <s v="Aug"/>
          <s v="Sep"/>
          <s v="Oct"/>
          <s v="Nov"/>
          <s v="Dec"/>
          <s v="&gt;01-05-2024"/>
        </groupItems>
      </fieldGroup>
    </cacheField>
  </cacheFields>
  <extLst>
    <ext xmlns:x14="http://schemas.microsoft.com/office/spreadsheetml/2009/9/main" uri="{725AE2AE-9491-48be-B2B4-4EB974FC3084}">
      <x14:pivotCacheDefinition pivotCacheId="1830679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1"/>
    <x v="0"/>
    <x v="0"/>
    <s v="Ravi"/>
    <x v="0"/>
    <s v="Electronics"/>
    <n v="50000"/>
  </r>
  <r>
    <n v="102"/>
    <x v="1"/>
    <x v="1"/>
    <s v="Anita"/>
    <x v="1"/>
    <s v="Electronics"/>
    <n v="20000"/>
  </r>
  <r>
    <n v="103"/>
    <x v="2"/>
    <x v="2"/>
    <s v="Mahesh"/>
    <x v="2"/>
    <s v="Furniture"/>
    <n v="8000"/>
  </r>
  <r>
    <n v="104"/>
    <x v="3"/>
    <x v="3"/>
    <s v="Sunita"/>
    <x v="3"/>
    <s v="Furniture"/>
    <n v="12000"/>
  </r>
  <r>
    <n v="105"/>
    <x v="4"/>
    <x v="0"/>
    <s v="Ravi"/>
    <x v="1"/>
    <s v="Electronics"/>
    <n v="18000"/>
  </r>
  <r>
    <n v="106"/>
    <x v="5"/>
    <x v="1"/>
    <s v="Anita"/>
    <x v="0"/>
    <s v="Electronics"/>
    <n v="52000"/>
  </r>
  <r>
    <n v="107"/>
    <x v="6"/>
    <x v="2"/>
    <s v="Mahesh"/>
    <x v="2"/>
    <s v="Furniture"/>
    <n v="9000"/>
  </r>
  <r>
    <n v="108"/>
    <x v="7"/>
    <x v="3"/>
    <s v="Sunita"/>
    <x v="3"/>
    <s v="Furniture"/>
    <n v="15000"/>
  </r>
  <r>
    <n v="109"/>
    <x v="8"/>
    <x v="0"/>
    <s v="Ravi"/>
    <x v="0"/>
    <s v="Electronics"/>
    <n v="47000"/>
  </r>
  <r>
    <n v="110"/>
    <x v="9"/>
    <x v="1"/>
    <s v="Anita"/>
    <x v="1"/>
    <s v="Electronics"/>
    <n v="22000"/>
  </r>
  <r>
    <n v="111"/>
    <x v="10"/>
    <x v="2"/>
    <s v="Mahesh"/>
    <x v="2"/>
    <s v="Furniture"/>
    <n v="7500"/>
  </r>
  <r>
    <n v="112"/>
    <x v="11"/>
    <x v="3"/>
    <s v="Sunita"/>
    <x v="3"/>
    <s v="Furniture"/>
    <n v="13500"/>
  </r>
  <r>
    <n v="113"/>
    <x v="12"/>
    <x v="0"/>
    <s v="Ravi"/>
    <x v="1"/>
    <s v="Electronics"/>
    <n v="21000"/>
  </r>
  <r>
    <n v="114"/>
    <x v="13"/>
    <x v="1"/>
    <s v="Anita"/>
    <x v="0"/>
    <s v="Electronics"/>
    <n v="55000"/>
  </r>
  <r>
    <n v="115"/>
    <x v="14"/>
    <x v="2"/>
    <s v="Mahesh"/>
    <x v="2"/>
    <s v="Furniture"/>
    <n v="8200"/>
  </r>
  <r>
    <n v="116"/>
    <x v="15"/>
    <x v="3"/>
    <s v="Sunita"/>
    <x v="3"/>
    <s v="Furniture"/>
    <n v="14000"/>
  </r>
  <r>
    <n v="117"/>
    <x v="16"/>
    <x v="0"/>
    <s v="Ravi"/>
    <x v="0"/>
    <s v="Electronics"/>
    <n v="48000"/>
  </r>
  <r>
    <n v="118"/>
    <x v="17"/>
    <x v="1"/>
    <s v="Anita"/>
    <x v="1"/>
    <s v="Electronics"/>
    <n v="23000"/>
  </r>
  <r>
    <n v="119"/>
    <x v="18"/>
    <x v="2"/>
    <s v="Mahesh"/>
    <x v="2"/>
    <s v="Furniture"/>
    <n v="9100"/>
  </r>
  <r>
    <n v="120"/>
    <x v="19"/>
    <x v="3"/>
    <s v="Sunita"/>
    <x v="3"/>
    <s v="Furniture"/>
    <n v="1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E3BDF8-439B-4FC3-AA8D-2ADD275D91EB}"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3"/>
        <item x="1"/>
        <item x="0"/>
        <item x="2"/>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86D57-A709-42B4-8360-1C4EC30EF45D}"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8" firstHeaderRow="1" firstDataRow="1" firstDataCol="1"/>
  <pivotFields count="9">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3"/>
        <item x="1"/>
        <item x="0"/>
        <item x="2"/>
        <item t="default"/>
      </items>
    </pivotField>
    <pivotField showAll="0"/>
    <pivotField axis="axisRow" showAll="0">
      <items count="5">
        <item x="2"/>
        <item x="0"/>
        <item x="1"/>
        <item x="3"/>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6"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8CFC6-B44C-4D5C-B9D7-7ABA1DADC24A}"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9">
    <pivotField showAll="0"/>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3"/>
        <item x="1"/>
        <item x="0"/>
        <item x="2"/>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1"/>
  </rowFields>
  <rowItems count="5">
    <i>
      <x v="1"/>
    </i>
    <i>
      <x v="2"/>
    </i>
    <i>
      <x v="3"/>
    </i>
    <i>
      <x v="4"/>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40"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B495265-9C91-41AA-8161-CB483CCF2A44}" sourceName="Product">
  <pivotTables>
    <pivotTable tabId="4" name="PivotTable2"/>
  </pivotTables>
  <data>
    <tabular pivotCacheId="1830679088">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EFEF982-D394-4B15-9A23-B33DCC58A53E}" sourceName="Months (Date)">
  <pivotTables>
    <pivotTable tabId="5" name="PivotTable3"/>
  </pivotTables>
  <data>
    <tabular pivotCacheId="1830679088">
      <items count="14">
        <i x="1" s="1"/>
        <i x="2" s="1"/>
        <i x="3" s="1"/>
        <i x="4" s="1"/>
        <i x="5"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516C4B-4579-427C-ADAA-02A86DF44D1F}" sourceName="Region">
  <pivotTables>
    <pivotTable tabId="2" name="PivotTable1"/>
    <pivotTable tabId="4" name="PivotTable2"/>
    <pivotTable tabId="5" name="PivotTable3"/>
  </pivotTables>
  <data>
    <tabular pivotCacheId="183067908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D86F19-172C-41A4-81B1-194103075DC1}"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17E7BF3-BA46-4081-AB60-5CDC94ECF657}" cache="Slicer_Product" caption="Produ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2CE0779-ED6D-4698-80C3-66C3111DDEE9}" cache="Slicer_Months__Date" caption="Months (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3762226-0D1E-4AED-8907-0BED55680A49}" cache="Slicer_Product" caption="Product" rowHeight="247650"/>
  <slicer name="Region 1" xr10:uid="{2710797F-04F6-49F3-A835-0D6DB035135F}" cache="Slicer_Region" caption="Regi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A6F7A-53AC-436F-9D82-99588D666B93}" name="Table1" displayName="Table1" ref="A1:G21" totalsRowShown="0" headerRowDxfId="0" dataDxfId="1">
  <autoFilter ref="A1:G21" xr:uid="{227A6F7A-53AC-436F-9D82-99588D666B93}"/>
  <tableColumns count="7">
    <tableColumn id="1" xr3:uid="{3AD768E1-8DD0-43A2-A6E8-22B99AE14BAB}" name="OrderID" dataDxfId="8"/>
    <tableColumn id="2" xr3:uid="{557D1867-BE39-4885-BE75-CF903F578E8D}" name="Date" dataDxfId="7"/>
    <tableColumn id="3" xr3:uid="{92215A2D-7DA9-4598-BE65-01F58AC36992}" name="Region" dataDxfId="6"/>
    <tableColumn id="4" xr3:uid="{EBEA6DCD-0CBE-41C1-A283-DFF95EDB9126}" name="Salesperson" dataDxfId="5"/>
    <tableColumn id="5" xr3:uid="{79E9E655-4E20-4A6F-BA79-962ABF41DEC9}" name="Product" dataDxfId="4"/>
    <tableColumn id="6" xr3:uid="{E5D7D127-570D-408B-A89A-2BA6432F402B}" name="Category" dataDxfId="3"/>
    <tableColumn id="7" xr3:uid="{17CF9566-4521-4AA8-A987-9C8F2A10ED25}" name="Sal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0969BF3-2C98-4281-B740-B160AB8F7F13}" sourceName="Date">
  <pivotTables>
    <pivotTable tabId="5" name="PivotTable3"/>
    <pivotTable tabId="2" name="PivotTable1"/>
    <pivotTable tabId="4" name="PivotTable2"/>
  </pivotTables>
  <state minimalRefreshVersion="6" lastRefreshVersion="6" pivotCacheId="1830679088" filterType="dateBetween">
    <selection startDate="2024-01-01T00:00:00" endDate="2024-05-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E6B529A-59EF-4B10-AB5A-FEB52C1EF7B7}"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0E37E6C-6499-4EC9-A55C-6416F4BC6C12}" cache="NativeTimeline_Date" caption="Date" level="2" selectionLevel="2"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638F-4031-4149-8D16-0A8B8D80E642}">
  <dimension ref="A3:B8"/>
  <sheetViews>
    <sheetView workbookViewId="0">
      <selection activeCell="O6" sqref="O6"/>
    </sheetView>
  </sheetViews>
  <sheetFormatPr defaultRowHeight="14.4" x14ac:dyDescent="0.3"/>
  <cols>
    <col min="1" max="1" width="12.44140625" bestFit="1" customWidth="1"/>
    <col min="2" max="2" width="11.5546875" bestFit="1" customWidth="1"/>
  </cols>
  <sheetData>
    <row r="3" spans="1:2" x14ac:dyDescent="0.3">
      <c r="A3" s="4" t="s">
        <v>21</v>
      </c>
      <c r="B3" t="s">
        <v>23</v>
      </c>
    </row>
    <row r="4" spans="1:2" x14ac:dyDescent="0.3">
      <c r="A4" s="5" t="s">
        <v>18</v>
      </c>
      <c r="B4" s="6">
        <v>70500</v>
      </c>
    </row>
    <row r="5" spans="1:2" x14ac:dyDescent="0.3">
      <c r="A5" s="5" t="s">
        <v>11</v>
      </c>
      <c r="B5" s="6">
        <v>172000</v>
      </c>
    </row>
    <row r="6" spans="1:2" x14ac:dyDescent="0.3">
      <c r="A6" s="5" t="s">
        <v>7</v>
      </c>
      <c r="B6" s="6">
        <v>184000</v>
      </c>
    </row>
    <row r="7" spans="1:2" x14ac:dyDescent="0.3">
      <c r="A7" s="5" t="s">
        <v>14</v>
      </c>
      <c r="B7" s="6">
        <v>41800</v>
      </c>
    </row>
    <row r="8" spans="1:2" x14ac:dyDescent="0.3">
      <c r="A8" s="5" t="s">
        <v>22</v>
      </c>
      <c r="B8" s="6">
        <v>468300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F5EC-E72F-4B25-B9C5-BE64976361A1}">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C07A-EF59-4EF8-B78D-70C9ABBBD3C1}">
  <dimension ref="A3:B8"/>
  <sheetViews>
    <sheetView workbookViewId="0">
      <selection activeCell="O24" sqref="O24"/>
    </sheetView>
  </sheetViews>
  <sheetFormatPr defaultRowHeight="14.4" x14ac:dyDescent="0.3"/>
  <cols>
    <col min="1" max="1" width="12.44140625" bestFit="1" customWidth="1"/>
    <col min="2" max="2" width="11.5546875" bestFit="1" customWidth="1"/>
  </cols>
  <sheetData>
    <row r="3" spans="1:2" x14ac:dyDescent="0.3">
      <c r="A3" s="4" t="s">
        <v>21</v>
      </c>
      <c r="B3" t="s">
        <v>23</v>
      </c>
    </row>
    <row r="4" spans="1:2" x14ac:dyDescent="0.3">
      <c r="A4" s="5" t="s">
        <v>16</v>
      </c>
      <c r="B4" s="6">
        <v>41800</v>
      </c>
    </row>
    <row r="5" spans="1:2" x14ac:dyDescent="0.3">
      <c r="A5" s="5" t="s">
        <v>9</v>
      </c>
      <c r="B5" s="6">
        <v>252000</v>
      </c>
    </row>
    <row r="6" spans="1:2" x14ac:dyDescent="0.3">
      <c r="A6" s="5" t="s">
        <v>13</v>
      </c>
      <c r="B6" s="6">
        <v>104000</v>
      </c>
    </row>
    <row r="7" spans="1:2" x14ac:dyDescent="0.3">
      <c r="A7" s="5" t="s">
        <v>20</v>
      </c>
      <c r="B7" s="6">
        <v>70500</v>
      </c>
    </row>
    <row r="8" spans="1:2" x14ac:dyDescent="0.3">
      <c r="A8" s="5" t="s">
        <v>22</v>
      </c>
      <c r="B8" s="6">
        <v>468300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5E6A-587F-4E67-AA00-25D59636480D}">
  <dimension ref="A3:B8"/>
  <sheetViews>
    <sheetView topLeftCell="F1" workbookViewId="0">
      <selection activeCell="N23" sqref="N23"/>
    </sheetView>
  </sheetViews>
  <sheetFormatPr defaultRowHeight="14.4" x14ac:dyDescent="0.3"/>
  <cols>
    <col min="1" max="1" width="12.44140625" bestFit="1" customWidth="1"/>
    <col min="2" max="2" width="11.5546875" bestFit="1" customWidth="1"/>
  </cols>
  <sheetData>
    <row r="3" spans="1:2" x14ac:dyDescent="0.3">
      <c r="A3" s="4" t="s">
        <v>21</v>
      </c>
      <c r="B3" t="s">
        <v>23</v>
      </c>
    </row>
    <row r="4" spans="1:2" x14ac:dyDescent="0.3">
      <c r="A4" s="5" t="s">
        <v>24</v>
      </c>
      <c r="B4" s="6">
        <v>160000</v>
      </c>
    </row>
    <row r="5" spans="1:2" x14ac:dyDescent="0.3">
      <c r="A5" s="5" t="s">
        <v>25</v>
      </c>
      <c r="B5" s="6">
        <v>93000</v>
      </c>
    </row>
    <row r="6" spans="1:2" x14ac:dyDescent="0.3">
      <c r="A6" s="5" t="s">
        <v>26</v>
      </c>
      <c r="B6" s="6">
        <v>105200</v>
      </c>
    </row>
    <row r="7" spans="1:2" x14ac:dyDescent="0.3">
      <c r="A7" s="5" t="s">
        <v>27</v>
      </c>
      <c r="B7" s="6">
        <v>110100</v>
      </c>
    </row>
    <row r="8" spans="1:2" x14ac:dyDescent="0.3">
      <c r="A8" s="5" t="s">
        <v>22</v>
      </c>
      <c r="B8" s="6">
        <v>468300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23C0-D939-4A3C-BACE-D675363F96A4}">
  <dimension ref="H1:S12"/>
  <sheetViews>
    <sheetView tabSelected="1" zoomScale="91" workbookViewId="0">
      <selection activeCell="Q16" sqref="Q16"/>
    </sheetView>
  </sheetViews>
  <sheetFormatPr defaultRowHeight="14.4" x14ac:dyDescent="0.3"/>
  <sheetData>
    <row r="1" spans="8:19" ht="47.4" x14ac:dyDescent="0.9">
      <c r="H1" s="8"/>
      <c r="L1" s="7"/>
      <c r="M1" s="7"/>
      <c r="N1" s="7"/>
      <c r="O1" s="7"/>
      <c r="P1" s="9"/>
    </row>
    <row r="2" spans="8:19" ht="47.4" x14ac:dyDescent="0.9">
      <c r="P2" s="9"/>
    </row>
    <row r="5" spans="8:19" x14ac:dyDescent="0.3">
      <c r="J5" s="11"/>
    </row>
    <row r="12" spans="8:19" ht="33.6" x14ac:dyDescent="0.65">
      <c r="S12"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5E6C-5009-4CFC-9BD1-7309481BC860}">
  <dimension ref="A1:J21"/>
  <sheetViews>
    <sheetView workbookViewId="0">
      <selection activeCell="J5" sqref="J5"/>
    </sheetView>
  </sheetViews>
  <sheetFormatPr defaultRowHeight="14.4" x14ac:dyDescent="0.3"/>
  <cols>
    <col min="1" max="1" width="9.44140625" customWidth="1"/>
    <col min="2" max="2" width="10.33203125" bestFit="1" customWidth="1"/>
    <col min="4" max="4" width="13.109375" customWidth="1"/>
    <col min="5" max="5" width="9.44140625" customWidth="1"/>
    <col min="6" max="6" width="10.21875" customWidth="1"/>
    <col min="10" max="10" width="20" customWidth="1"/>
  </cols>
  <sheetData>
    <row r="1" spans="1:10" x14ac:dyDescent="0.3">
      <c r="A1" s="1" t="s">
        <v>0</v>
      </c>
      <c r="B1" s="1" t="s">
        <v>1</v>
      </c>
      <c r="C1" s="1" t="s">
        <v>2</v>
      </c>
      <c r="D1" s="1" t="s">
        <v>3</v>
      </c>
      <c r="E1" s="1" t="s">
        <v>4</v>
      </c>
      <c r="F1" s="1" t="s">
        <v>5</v>
      </c>
      <c r="G1" s="1" t="s">
        <v>6</v>
      </c>
    </row>
    <row r="2" spans="1:10" x14ac:dyDescent="0.3">
      <c r="A2" s="2">
        <v>101</v>
      </c>
      <c r="B2" s="3">
        <v>45293</v>
      </c>
      <c r="C2" s="2" t="s">
        <v>7</v>
      </c>
      <c r="D2" s="2" t="s">
        <v>8</v>
      </c>
      <c r="E2" s="2" t="s">
        <v>9</v>
      </c>
      <c r="F2" s="2" t="s">
        <v>10</v>
      </c>
      <c r="G2" s="2">
        <v>50000</v>
      </c>
      <c r="J2">
        <f>SUM(G2:G21)</f>
        <v>468300</v>
      </c>
    </row>
    <row r="3" spans="1:10" x14ac:dyDescent="0.3">
      <c r="A3" s="2">
        <v>102</v>
      </c>
      <c r="B3" s="3">
        <v>45296</v>
      </c>
      <c r="C3" s="2" t="s">
        <v>11</v>
      </c>
      <c r="D3" s="2" t="s">
        <v>12</v>
      </c>
      <c r="E3" s="2" t="s">
        <v>13</v>
      </c>
      <c r="F3" s="2" t="s">
        <v>10</v>
      </c>
      <c r="G3" s="2">
        <v>20000</v>
      </c>
      <c r="J3">
        <f>COUNT(A2:A21)</f>
        <v>20</v>
      </c>
    </row>
    <row r="4" spans="1:10" x14ac:dyDescent="0.3">
      <c r="A4" s="2">
        <v>103</v>
      </c>
      <c r="B4" s="3">
        <v>45299</v>
      </c>
      <c r="C4" s="2" t="s">
        <v>14</v>
      </c>
      <c r="D4" s="2" t="s">
        <v>15</v>
      </c>
      <c r="E4" s="2" t="s">
        <v>16</v>
      </c>
      <c r="F4" s="2" t="s">
        <v>17</v>
      </c>
      <c r="G4" s="2">
        <v>8000</v>
      </c>
      <c r="J4">
        <f>AVERAGE(G2:G21)</f>
        <v>23415</v>
      </c>
    </row>
    <row r="5" spans="1:10" x14ac:dyDescent="0.3">
      <c r="A5" s="2">
        <v>104</v>
      </c>
      <c r="B5" s="3">
        <v>45303</v>
      </c>
      <c r="C5" s="2" t="s">
        <v>18</v>
      </c>
      <c r="D5" s="2" t="s">
        <v>19</v>
      </c>
      <c r="E5" s="2" t="s">
        <v>20</v>
      </c>
      <c r="F5" s="2" t="s">
        <v>17</v>
      </c>
      <c r="G5" s="2">
        <v>12000</v>
      </c>
    </row>
    <row r="6" spans="1:10" x14ac:dyDescent="0.3">
      <c r="A6" s="2">
        <v>105</v>
      </c>
      <c r="B6" s="3">
        <v>45311</v>
      </c>
      <c r="C6" s="2" t="s">
        <v>7</v>
      </c>
      <c r="D6" s="2" t="s">
        <v>8</v>
      </c>
      <c r="E6" s="2" t="s">
        <v>13</v>
      </c>
      <c r="F6" s="2" t="s">
        <v>10</v>
      </c>
      <c r="G6" s="2">
        <v>18000</v>
      </c>
    </row>
    <row r="7" spans="1:10" ht="28.8" x14ac:dyDescent="0.3">
      <c r="A7" s="2">
        <v>106</v>
      </c>
      <c r="B7" s="3">
        <v>45316</v>
      </c>
      <c r="C7" s="2" t="s">
        <v>11</v>
      </c>
      <c r="D7" s="2" t="s">
        <v>12</v>
      </c>
      <c r="E7" s="2" t="s">
        <v>9</v>
      </c>
      <c r="F7" s="2" t="s">
        <v>10</v>
      </c>
      <c r="G7" s="2">
        <v>52000</v>
      </c>
    </row>
    <row r="8" spans="1:10" x14ac:dyDescent="0.3">
      <c r="A8" s="2">
        <v>107</v>
      </c>
      <c r="B8" s="3">
        <v>45327</v>
      </c>
      <c r="C8" s="2" t="s">
        <v>14</v>
      </c>
      <c r="D8" s="2" t="s">
        <v>15</v>
      </c>
      <c r="E8" s="2" t="s">
        <v>16</v>
      </c>
      <c r="F8" s="2" t="s">
        <v>17</v>
      </c>
      <c r="G8" s="2">
        <v>9000</v>
      </c>
    </row>
    <row r="9" spans="1:10" x14ac:dyDescent="0.3">
      <c r="A9" s="2">
        <v>108</v>
      </c>
      <c r="B9" s="3">
        <v>45332</v>
      </c>
      <c r="C9" s="2" t="s">
        <v>18</v>
      </c>
      <c r="D9" s="2" t="s">
        <v>19</v>
      </c>
      <c r="E9" s="2" t="s">
        <v>20</v>
      </c>
      <c r="F9" s="2" t="s">
        <v>17</v>
      </c>
      <c r="G9" s="2">
        <v>15000</v>
      </c>
    </row>
    <row r="10" spans="1:10" ht="28.8" x14ac:dyDescent="0.3">
      <c r="A10" s="2">
        <v>109</v>
      </c>
      <c r="B10" s="3">
        <v>45337</v>
      </c>
      <c r="C10" s="2" t="s">
        <v>7</v>
      </c>
      <c r="D10" s="2" t="s">
        <v>8</v>
      </c>
      <c r="E10" s="2" t="s">
        <v>9</v>
      </c>
      <c r="F10" s="2" t="s">
        <v>10</v>
      </c>
      <c r="G10" s="2">
        <v>47000</v>
      </c>
    </row>
    <row r="11" spans="1:10" ht="28.8" x14ac:dyDescent="0.3">
      <c r="A11" s="2">
        <v>110</v>
      </c>
      <c r="B11" s="3">
        <v>45342</v>
      </c>
      <c r="C11" s="2" t="s">
        <v>11</v>
      </c>
      <c r="D11" s="2" t="s">
        <v>12</v>
      </c>
      <c r="E11" s="2" t="s">
        <v>13</v>
      </c>
      <c r="F11" s="2" t="s">
        <v>10</v>
      </c>
      <c r="G11" s="2">
        <v>22000</v>
      </c>
    </row>
    <row r="12" spans="1:10" x14ac:dyDescent="0.3">
      <c r="A12" s="2">
        <v>111</v>
      </c>
      <c r="B12" s="3">
        <v>45352</v>
      </c>
      <c r="C12" s="2" t="s">
        <v>14</v>
      </c>
      <c r="D12" s="2" t="s">
        <v>15</v>
      </c>
      <c r="E12" s="2" t="s">
        <v>16</v>
      </c>
      <c r="F12" s="2" t="s">
        <v>17</v>
      </c>
      <c r="G12" s="2">
        <v>7500</v>
      </c>
    </row>
    <row r="13" spans="1:10" x14ac:dyDescent="0.3">
      <c r="A13" s="2">
        <v>112</v>
      </c>
      <c r="B13" s="3">
        <v>45361</v>
      </c>
      <c r="C13" s="2" t="s">
        <v>18</v>
      </c>
      <c r="D13" s="2" t="s">
        <v>19</v>
      </c>
      <c r="E13" s="2" t="s">
        <v>20</v>
      </c>
      <c r="F13" s="2" t="s">
        <v>17</v>
      </c>
      <c r="G13" s="2">
        <v>13500</v>
      </c>
    </row>
    <row r="14" spans="1:10" ht="28.8" x14ac:dyDescent="0.3">
      <c r="A14" s="2">
        <v>113</v>
      </c>
      <c r="B14" s="3">
        <v>45366</v>
      </c>
      <c r="C14" s="2" t="s">
        <v>7</v>
      </c>
      <c r="D14" s="2" t="s">
        <v>8</v>
      </c>
      <c r="E14" s="2" t="s">
        <v>13</v>
      </c>
      <c r="F14" s="2" t="s">
        <v>10</v>
      </c>
      <c r="G14" s="2">
        <v>21000</v>
      </c>
    </row>
    <row r="15" spans="1:10" ht="28.8" x14ac:dyDescent="0.3">
      <c r="A15" s="2">
        <v>114</v>
      </c>
      <c r="B15" s="3">
        <v>45373</v>
      </c>
      <c r="C15" s="2" t="s">
        <v>11</v>
      </c>
      <c r="D15" s="2" t="s">
        <v>12</v>
      </c>
      <c r="E15" s="2" t="s">
        <v>9</v>
      </c>
      <c r="F15" s="2" t="s">
        <v>10</v>
      </c>
      <c r="G15" s="2">
        <v>55000</v>
      </c>
    </row>
    <row r="16" spans="1:10" x14ac:dyDescent="0.3">
      <c r="A16" s="2">
        <v>115</v>
      </c>
      <c r="B16" s="3">
        <v>45379</v>
      </c>
      <c r="C16" s="2" t="s">
        <v>14</v>
      </c>
      <c r="D16" s="2" t="s">
        <v>15</v>
      </c>
      <c r="E16" s="2" t="s">
        <v>16</v>
      </c>
      <c r="F16" s="2" t="s">
        <v>17</v>
      </c>
      <c r="G16" s="2">
        <v>8200</v>
      </c>
    </row>
    <row r="17" spans="1:7" x14ac:dyDescent="0.3">
      <c r="A17" s="2">
        <v>116</v>
      </c>
      <c r="B17" s="3">
        <v>45387</v>
      </c>
      <c r="C17" s="2" t="s">
        <v>18</v>
      </c>
      <c r="D17" s="2" t="s">
        <v>19</v>
      </c>
      <c r="E17" s="2" t="s">
        <v>20</v>
      </c>
      <c r="F17" s="2" t="s">
        <v>17</v>
      </c>
      <c r="G17" s="2">
        <v>14000</v>
      </c>
    </row>
    <row r="18" spans="1:7" ht="28.8" x14ac:dyDescent="0.3">
      <c r="A18" s="2">
        <v>117</v>
      </c>
      <c r="B18" s="3">
        <v>45394</v>
      </c>
      <c r="C18" s="2" t="s">
        <v>7</v>
      </c>
      <c r="D18" s="2" t="s">
        <v>8</v>
      </c>
      <c r="E18" s="2" t="s">
        <v>9</v>
      </c>
      <c r="F18" s="2" t="s">
        <v>10</v>
      </c>
      <c r="G18" s="2">
        <v>48000</v>
      </c>
    </row>
    <row r="19" spans="1:7" ht="28.8" x14ac:dyDescent="0.3">
      <c r="A19" s="2">
        <v>118</v>
      </c>
      <c r="B19" s="3">
        <v>45400</v>
      </c>
      <c r="C19" s="2" t="s">
        <v>11</v>
      </c>
      <c r="D19" s="2" t="s">
        <v>12</v>
      </c>
      <c r="E19" s="2" t="s">
        <v>13</v>
      </c>
      <c r="F19" s="2" t="s">
        <v>10</v>
      </c>
      <c r="G19" s="2">
        <v>23000</v>
      </c>
    </row>
    <row r="20" spans="1:7" x14ac:dyDescent="0.3">
      <c r="A20" s="2">
        <v>119</v>
      </c>
      <c r="B20" s="3">
        <v>45407</v>
      </c>
      <c r="C20" s="2" t="s">
        <v>14</v>
      </c>
      <c r="D20" s="2" t="s">
        <v>15</v>
      </c>
      <c r="E20" s="2" t="s">
        <v>16</v>
      </c>
      <c r="F20" s="2" t="s">
        <v>17</v>
      </c>
      <c r="G20" s="2">
        <v>9100</v>
      </c>
    </row>
    <row r="21" spans="1:7" x14ac:dyDescent="0.3">
      <c r="A21" s="2">
        <v>120</v>
      </c>
      <c r="B21" s="3">
        <v>45412</v>
      </c>
      <c r="C21" s="2" t="s">
        <v>18</v>
      </c>
      <c r="D21" s="2" t="s">
        <v>19</v>
      </c>
      <c r="E21" s="2" t="s">
        <v>20</v>
      </c>
      <c r="F21" s="2" t="s">
        <v>17</v>
      </c>
      <c r="G21" s="2">
        <v>16000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pivottable1</vt:lpstr>
      <vt:lpstr>Sheet3</vt:lpstr>
      <vt:lpstr>pivottable2</vt:lpstr>
      <vt:lpstr>pivottable3</vt:lpstr>
      <vt:lpstr>Sales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pavani chikkam</dc:creator>
  <cp:lastModifiedBy>pavani chikkam</cp:lastModifiedBy>
  <dcterms:created xsi:type="dcterms:W3CDTF">2026-03-11T05:22:27Z</dcterms:created>
  <dcterms:modified xsi:type="dcterms:W3CDTF">2026-03-11T10:44:48Z</dcterms:modified>
</cp:coreProperties>
</file>